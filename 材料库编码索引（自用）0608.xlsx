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广州宇辰材料库编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<sst xmlns="http://schemas.openxmlformats.org/spreadsheetml/2006/main" count="368" uniqueCount="274">
  <si>
    <t>宇辰物料编码</t>
  </si>
  <si>
    <t>工厂编码</t>
  </si>
  <si>
    <t>工厂名称</t>
  </si>
  <si>
    <t>大类代码</t>
  </si>
  <si>
    <t>工厂类型</t>
  </si>
  <si>
    <t>二级/三级代码</t>
  </si>
  <si>
    <t>二级/三级分类</t>
  </si>
  <si>
    <t>单位</t>
  </si>
  <si>
    <t>成本价</t>
  </si>
  <si>
    <t>零售价</t>
  </si>
  <si>
    <t>备注</t>
  </si>
  <si>
    <t>S001</t>
  </si>
  <si>
    <t>金牌橱柜</t>
  </si>
  <si>
    <t>SM</t>
  </si>
  <si>
    <t>柜体木饰面</t>
  </si>
  <si>
    <t>SP</t>
  </si>
  <si>
    <t>实木皮饰面板</t>
  </si>
  <si>
    <t>S002</t>
  </si>
  <si>
    <t>志邦橱柜</t>
  </si>
  <si>
    <t>KJ</t>
  </si>
  <si>
    <t>科技木皮饰面板</t>
  </si>
  <si>
    <t>S003</t>
  </si>
  <si>
    <t>索菲亚橱柜</t>
  </si>
  <si>
    <t>HY</t>
  </si>
  <si>
    <t>混油饰面板</t>
  </si>
  <si>
    <t>S004</t>
  </si>
  <si>
    <t>SJ</t>
  </si>
  <si>
    <t>三聚氰胺饰面板</t>
  </si>
  <si>
    <t>S005</t>
  </si>
  <si>
    <t>PT</t>
  </si>
  <si>
    <t>PET膜饰面板</t>
  </si>
  <si>
    <t>S006</t>
  </si>
  <si>
    <t>QT</t>
  </si>
  <si>
    <t>其他饰面</t>
  </si>
  <si>
    <t>S007</t>
  </si>
  <si>
    <t>JL</t>
  </si>
  <si>
    <t>铰链</t>
  </si>
  <si>
    <t>S008</t>
  </si>
  <si>
    <t>GD</t>
  </si>
  <si>
    <t>轨道</t>
  </si>
  <si>
    <t>S009</t>
  </si>
  <si>
    <t>LS</t>
  </si>
  <si>
    <t>拉手</t>
  </si>
  <si>
    <t>S010</t>
  </si>
  <si>
    <t>CT</t>
  </si>
  <si>
    <t>成品抽屉</t>
  </si>
  <si>
    <t>S011</t>
  </si>
  <si>
    <t>PJ</t>
  </si>
  <si>
    <t>柜体五金配件</t>
  </si>
  <si>
    <t>S012</t>
  </si>
  <si>
    <t>LH</t>
  </si>
  <si>
    <t>铝合金柜门</t>
  </si>
  <si>
    <t>S013</t>
  </si>
  <si>
    <t>MD</t>
  </si>
  <si>
    <t>木地板</t>
  </si>
  <si>
    <t>实木地板</t>
  </si>
  <si>
    <t>S014</t>
  </si>
  <si>
    <t>SF</t>
  </si>
  <si>
    <t>实木复合地板</t>
  </si>
  <si>
    <t>S015</t>
  </si>
  <si>
    <t>QH</t>
  </si>
  <si>
    <t>强化复合地板</t>
  </si>
  <si>
    <t>S016</t>
  </si>
  <si>
    <t>SPC(石塑）</t>
  </si>
  <si>
    <t>S017</t>
  </si>
  <si>
    <t>LT</t>
  </si>
  <si>
    <t>LVT</t>
  </si>
  <si>
    <t>S018</t>
  </si>
  <si>
    <t>WP</t>
  </si>
  <si>
    <t>WPC（木塑）</t>
  </si>
  <si>
    <t>S019</t>
  </si>
  <si>
    <t>塑胶地板及其他</t>
  </si>
  <si>
    <t>S020</t>
  </si>
  <si>
    <t>DT</t>
  </si>
  <si>
    <t>地毯</t>
  </si>
  <si>
    <t>BL</t>
  </si>
  <si>
    <t>丙纶满铺毯</t>
  </si>
  <si>
    <t>S021</t>
  </si>
  <si>
    <t>QL</t>
  </si>
  <si>
    <t>晴纶满铺毯</t>
  </si>
  <si>
    <t>S022</t>
  </si>
  <si>
    <t>DL</t>
  </si>
  <si>
    <t>涤纶满铺毯</t>
  </si>
  <si>
    <t>S023</t>
  </si>
  <si>
    <t>YM</t>
  </si>
  <si>
    <t>羊毛 / 羊毛混纺满铺毯</t>
  </si>
  <si>
    <t>S024</t>
  </si>
  <si>
    <t>ZQ</t>
  </si>
  <si>
    <t>植物纤维（剑麻 / 黄麻）</t>
  </si>
  <si>
    <t>S025</t>
  </si>
  <si>
    <t>CZ</t>
  </si>
  <si>
    <t>瓷砖</t>
  </si>
  <si>
    <t>LM</t>
  </si>
  <si>
    <t>亮面砖</t>
  </si>
  <si>
    <t>S026</t>
  </si>
  <si>
    <t>YG</t>
  </si>
  <si>
    <t>哑光砖</t>
  </si>
  <si>
    <t>S027</t>
  </si>
  <si>
    <t>肌理砖/手工砖/仿古砖</t>
  </si>
  <si>
    <t>S028</t>
  </si>
  <si>
    <t>MK</t>
  </si>
  <si>
    <t>马赛克/小砖</t>
  </si>
  <si>
    <t>S029</t>
  </si>
  <si>
    <t>YB</t>
  </si>
  <si>
    <t>岩板/大规格瓷砖</t>
  </si>
  <si>
    <t>S030</t>
  </si>
  <si>
    <t>SC</t>
  </si>
  <si>
    <t>石材</t>
  </si>
  <si>
    <t>大理石</t>
  </si>
  <si>
    <t>S031</t>
  </si>
  <si>
    <t>花岗岩</t>
  </si>
  <si>
    <t>S032</t>
  </si>
  <si>
    <t>SY</t>
  </si>
  <si>
    <t>砂岩</t>
  </si>
  <si>
    <t>S033</t>
  </si>
  <si>
    <t>BY</t>
  </si>
  <si>
    <t>板岩</t>
  </si>
  <si>
    <t>S034</t>
  </si>
  <si>
    <t>SH</t>
  </si>
  <si>
    <t>石灰石</t>
  </si>
  <si>
    <t>S035</t>
  </si>
  <si>
    <t>SZ</t>
  </si>
  <si>
    <t>树脂基石英石</t>
  </si>
  <si>
    <t>S036</t>
  </si>
  <si>
    <t>WZ</t>
  </si>
  <si>
    <t>无机基石英石</t>
  </si>
  <si>
    <t>S037</t>
  </si>
  <si>
    <t>GS</t>
  </si>
  <si>
    <t>人造大理石(岗石)</t>
  </si>
  <si>
    <t>S038</t>
  </si>
  <si>
    <t>WJ</t>
  </si>
  <si>
    <t>微晶石</t>
  </si>
  <si>
    <t>S039</t>
  </si>
  <si>
    <t>WY</t>
  </si>
  <si>
    <t>厨卫陶瓷</t>
  </si>
  <si>
    <t>连体马桶</t>
  </si>
  <si>
    <t>S040</t>
  </si>
  <si>
    <t>FT</t>
  </si>
  <si>
    <t>分体马桶</t>
  </si>
  <si>
    <t>S041</t>
  </si>
  <si>
    <t>BT</t>
  </si>
  <si>
    <t>壁挂马桶</t>
  </si>
  <si>
    <t>S042</t>
  </si>
  <si>
    <t>ZN</t>
  </si>
  <si>
    <t>智能马桶</t>
  </si>
  <si>
    <t>S043</t>
  </si>
  <si>
    <t>ZG</t>
  </si>
  <si>
    <t>智能马桶盖</t>
  </si>
  <si>
    <t>S044</t>
  </si>
  <si>
    <t>TS</t>
  </si>
  <si>
    <t>台上盆</t>
  </si>
  <si>
    <t>S045</t>
  </si>
  <si>
    <t>TZ</t>
  </si>
  <si>
    <t>台中盆(半嵌盆)</t>
  </si>
  <si>
    <t>S046</t>
  </si>
  <si>
    <t>TX</t>
  </si>
  <si>
    <t>台下盆</t>
  </si>
  <si>
    <t>S047</t>
  </si>
  <si>
    <t>YT</t>
  </si>
  <si>
    <t>一体盆</t>
  </si>
  <si>
    <t>S048</t>
  </si>
  <si>
    <t>GP</t>
  </si>
  <si>
    <t>挂墙盆/立柱盆</t>
  </si>
  <si>
    <t>S049</t>
  </si>
  <si>
    <t>DC</t>
  </si>
  <si>
    <t>单槽洗菜盆</t>
  </si>
  <si>
    <t>S050</t>
  </si>
  <si>
    <t>双槽洗菜盆</t>
  </si>
  <si>
    <t>S051</t>
  </si>
  <si>
    <t>YX</t>
  </si>
  <si>
    <t>异形洗菜盆</t>
  </si>
  <si>
    <t>S052</t>
  </si>
  <si>
    <t>YS</t>
  </si>
  <si>
    <t>石英石洗菜盆</t>
  </si>
  <si>
    <t>S053</t>
  </si>
  <si>
    <t>TB</t>
  </si>
  <si>
    <t>落地式拖把池</t>
  </si>
  <si>
    <t>S054</t>
  </si>
  <si>
    <t>BB</t>
  </si>
  <si>
    <t>壁挂式拖把池</t>
  </si>
  <si>
    <t>S055</t>
  </si>
  <si>
    <t>普通浴缸</t>
  </si>
  <si>
    <t>S056</t>
  </si>
  <si>
    <t>AM</t>
  </si>
  <si>
    <t>按摩浴缸</t>
  </si>
  <si>
    <t>S057</t>
  </si>
  <si>
    <t>YW</t>
  </si>
  <si>
    <t>厨卫五金</t>
  </si>
  <si>
    <t>MP</t>
  </si>
  <si>
    <t>面盆龙头</t>
  </si>
  <si>
    <t>S058</t>
  </si>
  <si>
    <t>CF</t>
  </si>
  <si>
    <t>厨房龙头</t>
  </si>
  <si>
    <t>S059</t>
  </si>
  <si>
    <t>LY</t>
  </si>
  <si>
    <t>淋浴龙头</t>
  </si>
  <si>
    <t>S060</t>
  </si>
  <si>
    <t>其他龙头</t>
  </si>
  <si>
    <t>S061</t>
  </si>
  <si>
    <t>MZ</t>
  </si>
  <si>
    <t>毛巾架</t>
  </si>
  <si>
    <t>S062</t>
  </si>
  <si>
    <t>ZW</t>
  </si>
  <si>
    <t>置物架</t>
  </si>
  <si>
    <t>S063</t>
  </si>
  <si>
    <t>PF</t>
  </si>
  <si>
    <t>淋浴屏风</t>
  </si>
  <si>
    <t>S064</t>
  </si>
  <si>
    <t>DS</t>
  </si>
  <si>
    <t>屏风挡水</t>
  </si>
  <si>
    <t>S065</t>
  </si>
  <si>
    <t>YJ</t>
  </si>
  <si>
    <t>浴屏五金</t>
  </si>
  <si>
    <t>S066</t>
  </si>
  <si>
    <t>DZ</t>
  </si>
  <si>
    <t>淋浴房底座</t>
  </si>
  <si>
    <t>S067</t>
  </si>
  <si>
    <t>地漏/角阀/软管等</t>
  </si>
  <si>
    <t>S068</t>
  </si>
  <si>
    <t>HM</t>
  </si>
  <si>
    <t>户内门</t>
  </si>
  <si>
    <t>MM</t>
  </si>
  <si>
    <t>木门</t>
  </si>
  <si>
    <t>S069</t>
  </si>
  <si>
    <t>铝合金门</t>
  </si>
  <si>
    <t>S070</t>
  </si>
  <si>
    <t>门锁</t>
  </si>
  <si>
    <t>S071</t>
  </si>
  <si>
    <t>合页</t>
  </si>
  <si>
    <t>S072</t>
  </si>
  <si>
    <t>S073</t>
  </si>
  <si>
    <t>门碰</t>
  </si>
  <si>
    <t>S074</t>
  </si>
  <si>
    <t>DJ</t>
  </si>
  <si>
    <t>灯具开关</t>
  </si>
  <si>
    <t>QR</t>
  </si>
  <si>
    <t>嵌入式灯具(筒灯/射灯/灯带)</t>
  </si>
  <si>
    <t>S075</t>
  </si>
  <si>
    <t>DD</t>
  </si>
  <si>
    <t>吊灯</t>
  </si>
  <si>
    <t>S076</t>
  </si>
  <si>
    <t>BD</t>
  </si>
  <si>
    <t>壁灯</t>
  </si>
  <si>
    <t>S077</t>
  </si>
  <si>
    <t>KG</t>
  </si>
  <si>
    <t>开关插座面板</t>
  </si>
  <si>
    <t>S078</t>
  </si>
  <si>
    <t>PQ</t>
  </si>
  <si>
    <t>浴霸/排气扇</t>
  </si>
  <si>
    <t>S079</t>
  </si>
  <si>
    <t>DQ</t>
  </si>
  <si>
    <t>电器</t>
  </si>
  <si>
    <t>YY</t>
  </si>
  <si>
    <t>油烟机</t>
  </si>
  <si>
    <t>S080</t>
  </si>
  <si>
    <t>RZ</t>
  </si>
  <si>
    <t>燃气灶</t>
  </si>
  <si>
    <t>S081</t>
  </si>
  <si>
    <t>电磁灶</t>
  </si>
  <si>
    <t>S082</t>
  </si>
  <si>
    <t>XW</t>
  </si>
  <si>
    <t>洗碗机</t>
  </si>
  <si>
    <t>S083</t>
  </si>
  <si>
    <t>WB</t>
  </si>
  <si>
    <t>微波炉</t>
  </si>
  <si>
    <t>S084</t>
  </si>
  <si>
    <t>ZK</t>
  </si>
  <si>
    <t>蒸烤箱</t>
  </si>
  <si>
    <t>S085</t>
  </si>
  <si>
    <t>RS</t>
  </si>
  <si>
    <t>热水器</t>
  </si>
  <si>
    <t>S086</t>
  </si>
  <si>
    <t>KT</t>
  </si>
  <si>
    <t>中央空调/新风/地暖设备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</si>
</sst>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7"/>
  <sheetViews>
    <sheetView tabSelected="1" zoomScaleSheetLayoutView="60" workbookViewId="0">
      <selection activeCell="A2" sqref="A2:A87"/>
    </sheetView>
  </sheetViews>
  <sheetFormatPr defaultColWidth="9" defaultRowHeight="16.5"/>
  <cols>
    <col min="1" max="1" width="25.7272727272727" style="1" customWidth="1"/>
    <col min="2" max="2" width="17.1272727272727" style="1" customWidth="1"/>
    <col min="3" max="3" width="18.6272727272727" style="1" customWidth="1"/>
    <col min="4" max="4" width="9" style="1"/>
    <col min="5" max="5" width="27.5" style="1" customWidth="1"/>
    <col min="6" max="6" width="15.1272727272727" style="1" customWidth="1"/>
    <col min="7" max="7" width="22.4545454545455" style="1" customWidth="1"/>
    <col min="8" max="8" width="17.1818181818182" style="1" customWidth="1"/>
    <col min="9" max="9" width="13.0909090909091" style="1" customWidth="1"/>
    <col min="10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3" t="str">
        <f>B2&amp;"-"&amp;D2&amp;"-"&amp;F2&amp;"-"&amp;TEXT(0+ROW(A1),"000")</f>
        <v>S001-SM-SP-001</v>
      </c>
      <c r="B2" s="4" t="s">
        <v>11</v>
      </c>
      <c r="C2" s="2" t="s">
        <v>12</v>
      </c>
      <c r="D2" s="5" t="s">
        <v>13</v>
      </c>
      <c r="E2" s="6" t="s">
        <v>14</v>
      </c>
      <c r="F2" s="2" t="s">
        <v>15</v>
      </c>
      <c r="G2" s="2" t="s">
        <v>16</v>
      </c>
      <c r="H2" s="2"/>
      <c r="I2" s="2"/>
      <c r="J2" s="2"/>
      <c r="K2" s="2"/>
      <c r="L2" s="2"/>
    </row>
    <row r="3" spans="1:12">
      <c r="A3" s="3" t="str">
        <f t="shared" ref="A3:A34" si="0">B3&amp;"-"&amp;D3&amp;"-"&amp;F3&amp;"-"&amp;TEXT(0+ROW(A2),"000")</f>
        <v>S002-SM-KJ-002</v>
      </c>
      <c r="B3" s="4" t="s">
        <v>17</v>
      </c>
      <c r="C3" s="2" t="s">
        <v>18</v>
      </c>
      <c r="D3" s="7" t="s">
        <v>13</v>
      </c>
      <c r="E3" s="8"/>
      <c r="F3" s="2" t="s">
        <v>19</v>
      </c>
      <c r="G3" s="2" t="s">
        <v>20</v>
      </c>
      <c r="H3" s="2"/>
      <c r="I3" s="2"/>
      <c r="J3" s="2"/>
      <c r="K3" s="2"/>
      <c r="L3" s="2"/>
    </row>
    <row r="4" spans="1:12">
      <c r="A4" s="3" t="str">
        <f t="shared" si="0"/>
        <v>S003-SM-HY-003</v>
      </c>
      <c r="B4" s="4" t="s">
        <v>21</v>
      </c>
      <c r="C4" s="2" t="s">
        <v>22</v>
      </c>
      <c r="D4" s="7" t="s">
        <v>13</v>
      </c>
      <c r="E4" s="8"/>
      <c r="F4" s="2" t="s">
        <v>23</v>
      </c>
      <c r="G4" s="2" t="s">
        <v>24</v>
      </c>
      <c r="H4" s="2"/>
      <c r="I4" s="2"/>
      <c r="J4" s="2"/>
      <c r="K4" s="2"/>
      <c r="L4" s="2"/>
    </row>
    <row r="5" spans="1:12">
      <c r="A5" s="3" t="str">
        <f t="shared" si="0"/>
        <v>S004-SM-SJ-004</v>
      </c>
      <c r="B5" s="4" t="s">
        <v>25</v>
      </c>
      <c r="C5" s="2"/>
      <c r="D5" s="7" t="s">
        <v>13</v>
      </c>
      <c r="E5" s="8"/>
      <c r="F5" s="2" t="s">
        <v>26</v>
      </c>
      <c r="G5" s="2" t="s">
        <v>27</v>
      </c>
      <c r="H5" s="2"/>
      <c r="I5" s="2"/>
      <c r="J5" s="2"/>
      <c r="K5" s="2"/>
      <c r="L5" s="2"/>
    </row>
    <row r="6" spans="1:12">
      <c r="A6" s="3" t="str">
        <f t="shared" si="0"/>
        <v>S005-SM-PT-005</v>
      </c>
      <c r="B6" s="4" t="s">
        <v>28</v>
      </c>
      <c r="C6" s="2"/>
      <c r="D6" s="7" t="s">
        <v>13</v>
      </c>
      <c r="E6" s="8"/>
      <c r="F6" s="2" t="s">
        <v>29</v>
      </c>
      <c r="G6" s="2" t="s">
        <v>30</v>
      </c>
      <c r="H6" s="2"/>
      <c r="I6" s="2"/>
      <c r="J6" s="2"/>
      <c r="K6" s="2"/>
      <c r="L6" s="2"/>
    </row>
    <row r="7" spans="1:12">
      <c r="A7" s="3" t="str">
        <f t="shared" si="0"/>
        <v>S006-SM-QT-006</v>
      </c>
      <c r="B7" s="4" t="s">
        <v>31</v>
      </c>
      <c r="C7" s="2"/>
      <c r="D7" s="9" t="s">
        <v>13</v>
      </c>
      <c r="E7" s="8"/>
      <c r="F7" s="2" t="s">
        <v>32</v>
      </c>
      <c r="G7" s="2" t="s">
        <v>33</v>
      </c>
      <c r="H7" s="2"/>
      <c r="I7" s="2"/>
      <c r="J7" s="2"/>
      <c r="K7" s="2"/>
      <c r="L7" s="2"/>
    </row>
    <row r="8" spans="1:12">
      <c r="A8" s="3" t="str">
        <f t="shared" si="0"/>
        <v>S007-SM-JL-007</v>
      </c>
      <c r="B8" s="4" t="s">
        <v>34</v>
      </c>
      <c r="C8" s="2"/>
      <c r="D8" s="9" t="s">
        <v>13</v>
      </c>
      <c r="E8" s="8"/>
      <c r="F8" s="2" t="s">
        <v>35</v>
      </c>
      <c r="G8" s="2" t="s">
        <v>36</v>
      </c>
      <c r="H8" s="2"/>
      <c r="I8" s="2"/>
      <c r="J8" s="2"/>
      <c r="K8" s="2"/>
      <c r="L8" s="2"/>
    </row>
    <row r="9" spans="1:12">
      <c r="A9" s="3" t="str">
        <f t="shared" si="0"/>
        <v>S008-SM-GD-008</v>
      </c>
      <c r="B9" s="4" t="s">
        <v>37</v>
      </c>
      <c r="C9" s="2"/>
      <c r="D9" s="9" t="s">
        <v>13</v>
      </c>
      <c r="E9" s="8"/>
      <c r="F9" s="2" t="s">
        <v>38</v>
      </c>
      <c r="G9" s="2" t="s">
        <v>39</v>
      </c>
      <c r="H9" s="2"/>
      <c r="I9" s="2"/>
      <c r="J9" s="2"/>
      <c r="K9" s="2"/>
      <c r="L9" s="2"/>
    </row>
    <row r="10" spans="1:12">
      <c r="A10" s="3" t="str">
        <f t="shared" si="0"/>
        <v>S009-SM-LS-009</v>
      </c>
      <c r="B10" s="4" t="s">
        <v>40</v>
      </c>
      <c r="C10" s="2"/>
      <c r="D10" s="9" t="s">
        <v>13</v>
      </c>
      <c r="E10" s="8"/>
      <c r="F10" s="2" t="s">
        <v>41</v>
      </c>
      <c r="G10" s="2" t="s">
        <v>42</v>
      </c>
      <c r="H10" s="2"/>
      <c r="I10" s="2"/>
      <c r="J10" s="2"/>
      <c r="K10" s="2"/>
      <c r="L10" s="2"/>
    </row>
    <row r="11" spans="1:12">
      <c r="A11" s="3" t="str">
        <f t="shared" si="0"/>
        <v>S010-SM-CT-010</v>
      </c>
      <c r="B11" s="4" t="s">
        <v>43</v>
      </c>
      <c r="C11" s="2"/>
      <c r="D11" s="9" t="s">
        <v>13</v>
      </c>
      <c r="E11" s="8"/>
      <c r="F11" s="2" t="s">
        <v>44</v>
      </c>
      <c r="G11" s="2" t="s">
        <v>45</v>
      </c>
      <c r="H11" s="2"/>
      <c r="I11" s="2"/>
      <c r="J11" s="2"/>
      <c r="K11" s="2"/>
      <c r="L11" s="2"/>
    </row>
    <row r="12" spans="1:12">
      <c r="A12" s="3" t="str">
        <f t="shared" si="0"/>
        <v>S011-SM-PJ-011</v>
      </c>
      <c r="B12" s="4" t="s">
        <v>46</v>
      </c>
      <c r="C12" s="2"/>
      <c r="D12" s="9" t="s">
        <v>13</v>
      </c>
      <c r="E12" s="8"/>
      <c r="F12" s="2" t="s">
        <v>47</v>
      </c>
      <c r="G12" s="2" t="s">
        <v>48</v>
      </c>
      <c r="H12" s="2"/>
      <c r="I12" s="2"/>
      <c r="J12" s="2"/>
      <c r="K12" s="2"/>
      <c r="L12" s="2"/>
    </row>
    <row r="13" spans="1:12">
      <c r="A13" s="3" t="str">
        <f t="shared" si="0"/>
        <v>S012-SM-LH-012</v>
      </c>
      <c r="B13" s="4" t="s">
        <v>49</v>
      </c>
      <c r="C13" s="2"/>
      <c r="D13" s="9" t="s">
        <v>13</v>
      </c>
      <c r="E13" s="8"/>
      <c r="F13" s="2" t="s">
        <v>50</v>
      </c>
      <c r="G13" s="2" t="s">
        <v>51</v>
      </c>
      <c r="H13" s="2"/>
      <c r="I13" s="2"/>
      <c r="J13" s="2"/>
      <c r="K13" s="2"/>
      <c r="L13" s="2"/>
    </row>
    <row r="14" spans="1:12">
      <c r="A14" s="3" t="str">
        <f t="shared" si="0"/>
        <v>S013-MD-SM-013</v>
      </c>
      <c r="B14" s="4" t="s">
        <v>52</v>
      </c>
      <c r="C14" s="2"/>
      <c r="D14" s="5" t="s">
        <v>53</v>
      </c>
      <c r="E14" s="10" t="s">
        <v>54</v>
      </c>
      <c r="F14" s="2" t="s">
        <v>13</v>
      </c>
      <c r="G14" s="2" t="s">
        <v>55</v>
      </c>
      <c r="H14" s="2"/>
      <c r="I14" s="2"/>
      <c r="J14" s="2"/>
      <c r="K14" s="2"/>
      <c r="L14" s="2"/>
    </row>
    <row r="15" spans="1:12">
      <c r="A15" s="3" t="str">
        <f t="shared" si="0"/>
        <v>S014-MD-SF-014</v>
      </c>
      <c r="B15" s="4" t="s">
        <v>56</v>
      </c>
      <c r="C15" s="2"/>
      <c r="D15" s="7" t="s">
        <v>53</v>
      </c>
      <c r="E15" s="11"/>
      <c r="F15" s="2" t="s">
        <v>57</v>
      </c>
      <c r="G15" s="2" t="s">
        <v>58</v>
      </c>
      <c r="H15" s="2"/>
      <c r="I15" s="2"/>
      <c r="J15" s="2"/>
      <c r="K15" s="2"/>
      <c r="L15" s="2"/>
    </row>
    <row r="16" spans="1:12">
      <c r="A16" s="3" t="str">
        <f t="shared" si="0"/>
        <v>S015-MD-QH-015</v>
      </c>
      <c r="B16" s="4" t="s">
        <v>59</v>
      </c>
      <c r="C16" s="2"/>
      <c r="D16" s="7" t="s">
        <v>53</v>
      </c>
      <c r="E16" s="11"/>
      <c r="F16" s="2" t="s">
        <v>60</v>
      </c>
      <c r="G16" s="2" t="s">
        <v>61</v>
      </c>
      <c r="H16" s="2"/>
      <c r="I16" s="2"/>
      <c r="J16" s="2"/>
      <c r="K16" s="2"/>
      <c r="L16" s="2"/>
    </row>
    <row r="17" spans="1:12">
      <c r="A17" s="3" t="str">
        <f t="shared" si="0"/>
        <v>S016-MD-SP-016</v>
      </c>
      <c r="B17" s="4" t="s">
        <v>62</v>
      </c>
      <c r="C17" s="2"/>
      <c r="D17" s="7" t="s">
        <v>53</v>
      </c>
      <c r="E17" s="11"/>
      <c r="F17" s="2" t="s">
        <v>15</v>
      </c>
      <c r="G17" s="2" t="s">
        <v>63</v>
      </c>
      <c r="H17" s="2"/>
      <c r="I17" s="2"/>
      <c r="J17" s="2"/>
      <c r="K17" s="2"/>
      <c r="L17" s="2"/>
    </row>
    <row r="18" spans="1:12">
      <c r="A18" s="3" t="str">
        <f t="shared" si="0"/>
        <v>S017-MD-LT-017</v>
      </c>
      <c r="B18" s="4" t="s">
        <v>64</v>
      </c>
      <c r="C18" s="2"/>
      <c r="D18" s="7" t="s">
        <v>53</v>
      </c>
      <c r="E18" s="11"/>
      <c r="F18" s="2" t="s">
        <v>65</v>
      </c>
      <c r="G18" s="2" t="s">
        <v>66</v>
      </c>
      <c r="H18" s="2"/>
      <c r="I18" s="2"/>
      <c r="J18" s="2"/>
      <c r="K18" s="2"/>
      <c r="L18" s="2"/>
    </row>
    <row r="19" spans="1:12">
      <c r="A19" s="3" t="str">
        <f t="shared" si="0"/>
        <v>S018-MD-WP-018</v>
      </c>
      <c r="B19" s="4" t="s">
        <v>67</v>
      </c>
      <c r="C19" s="2"/>
      <c r="D19" s="7" t="s">
        <v>53</v>
      </c>
      <c r="E19" s="11"/>
      <c r="F19" s="2" t="s">
        <v>68</v>
      </c>
      <c r="G19" s="2" t="s">
        <v>69</v>
      </c>
      <c r="H19" s="2"/>
      <c r="I19" s="2"/>
      <c r="J19" s="2"/>
      <c r="K19" s="2"/>
      <c r="L19" s="2"/>
    </row>
    <row r="20" spans="1:12">
      <c r="A20" s="3" t="str">
        <f t="shared" si="0"/>
        <v>S019-MD-QT-019</v>
      </c>
      <c r="B20" s="4" t="s">
        <v>70</v>
      </c>
      <c r="C20" s="2"/>
      <c r="D20" s="9" t="s">
        <v>53</v>
      </c>
      <c r="E20" s="12"/>
      <c r="F20" s="2" t="s">
        <v>32</v>
      </c>
      <c r="G20" s="2" t="s">
        <v>71</v>
      </c>
      <c r="H20" s="2"/>
      <c r="I20" s="2"/>
      <c r="J20" s="2"/>
      <c r="K20" s="2"/>
      <c r="L20" s="2"/>
    </row>
    <row r="21" spans="1:12">
      <c r="A21" s="3" t="str">
        <f t="shared" si="0"/>
        <v>S020-DT-BL-020</v>
      </c>
      <c r="B21" s="4" t="s">
        <v>72</v>
      </c>
      <c r="C21" s="2"/>
      <c r="D21" s="7" t="s">
        <v>73</v>
      </c>
      <c r="E21" s="11" t="s">
        <v>74</v>
      </c>
      <c r="F21" s="2" t="s">
        <v>75</v>
      </c>
      <c r="G21" s="2" t="s">
        <v>76</v>
      </c>
      <c r="H21" s="2"/>
      <c r="I21" s="2"/>
      <c r="J21" s="2"/>
      <c r="K21" s="2"/>
      <c r="L21" s="2"/>
    </row>
    <row r="22" spans="1:12">
      <c r="A22" s="3" t="str">
        <f t="shared" si="0"/>
        <v>S021-DT-QL-021</v>
      </c>
      <c r="B22" s="4" t="s">
        <v>77</v>
      </c>
      <c r="C22" s="2"/>
      <c r="D22" s="7" t="s">
        <v>73</v>
      </c>
      <c r="E22" s="11"/>
      <c r="F22" s="2" t="s">
        <v>78</v>
      </c>
      <c r="G22" s="2" t="s">
        <v>79</v>
      </c>
      <c r="H22" s="2"/>
      <c r="I22" s="2"/>
      <c r="J22" s="2"/>
      <c r="K22" s="2"/>
      <c r="L22" s="2"/>
    </row>
    <row r="23" spans="1:12">
      <c r="A23" s="3" t="str">
        <f t="shared" si="0"/>
        <v>S022-DT-DL-022</v>
      </c>
      <c r="B23" s="4" t="s">
        <v>80</v>
      </c>
      <c r="C23" s="2"/>
      <c r="D23" s="7" t="s">
        <v>73</v>
      </c>
      <c r="E23" s="11"/>
      <c r="F23" s="2" t="s">
        <v>81</v>
      </c>
      <c r="G23" s="2" t="s">
        <v>82</v>
      </c>
      <c r="H23" s="2"/>
      <c r="I23" s="2"/>
      <c r="J23" s="2"/>
      <c r="K23" s="2"/>
      <c r="L23" s="2"/>
    </row>
    <row r="24" spans="1:12">
      <c r="A24" s="3" t="str">
        <f t="shared" si="0"/>
        <v>S023-DT-YM-023</v>
      </c>
      <c r="B24" s="4" t="s">
        <v>83</v>
      </c>
      <c r="C24" s="2"/>
      <c r="D24" s="7" t="s">
        <v>73</v>
      </c>
      <c r="E24" s="11"/>
      <c r="F24" s="2" t="s">
        <v>84</v>
      </c>
      <c r="G24" s="2" t="s">
        <v>85</v>
      </c>
      <c r="H24" s="2"/>
      <c r="I24" s="2"/>
      <c r="J24" s="2"/>
      <c r="K24" s="2"/>
      <c r="L24" s="2"/>
    </row>
    <row r="25" spans="1:12">
      <c r="A25" s="3" t="str">
        <f t="shared" si="0"/>
        <v>S024-DT-ZQ-024</v>
      </c>
      <c r="B25" s="4" t="s">
        <v>86</v>
      </c>
      <c r="C25" s="2"/>
      <c r="D25" s="7" t="s">
        <v>73</v>
      </c>
      <c r="E25" s="11"/>
      <c r="F25" s="2" t="s">
        <v>87</v>
      </c>
      <c r="G25" s="2" t="s">
        <v>88</v>
      </c>
      <c r="H25" s="2"/>
      <c r="I25" s="2"/>
      <c r="J25" s="2"/>
      <c r="K25" s="2"/>
      <c r="L25" s="2"/>
    </row>
    <row r="26" spans="1:12">
      <c r="A26" s="3" t="str">
        <f t="shared" si="0"/>
        <v>S025-CZ-LM-025</v>
      </c>
      <c r="B26" s="4" t="s">
        <v>89</v>
      </c>
      <c r="C26" s="2"/>
      <c r="D26" s="5" t="s">
        <v>90</v>
      </c>
      <c r="E26" s="10" t="s">
        <v>91</v>
      </c>
      <c r="F26" s="2" t="s">
        <v>92</v>
      </c>
      <c r="G26" s="2" t="s">
        <v>93</v>
      </c>
      <c r="H26" s="2"/>
      <c r="I26" s="2"/>
      <c r="J26" s="2"/>
      <c r="K26" s="2"/>
      <c r="L26" s="2"/>
    </row>
    <row r="27" spans="1:12">
      <c r="A27" s="3" t="str">
        <f t="shared" si="0"/>
        <v>S026-CZ-YG-026</v>
      </c>
      <c r="B27" s="4" t="s">
        <v>94</v>
      </c>
      <c r="C27" s="2"/>
      <c r="D27" s="7" t="s">
        <v>90</v>
      </c>
      <c r="E27" s="11"/>
      <c r="F27" s="2" t="s">
        <v>95</v>
      </c>
      <c r="G27" s="2" t="s">
        <v>96</v>
      </c>
      <c r="H27" s="2"/>
      <c r="I27" s="2"/>
      <c r="J27" s="2"/>
      <c r="K27" s="2"/>
      <c r="L27" s="2"/>
    </row>
    <row r="28" spans="1:12">
      <c r="A28" s="3" t="str">
        <f t="shared" si="0"/>
        <v>S027-CZ-JL-027</v>
      </c>
      <c r="B28" s="4" t="s">
        <v>97</v>
      </c>
      <c r="C28" s="2"/>
      <c r="D28" s="7" t="s">
        <v>90</v>
      </c>
      <c r="E28" s="11"/>
      <c r="F28" s="2" t="s">
        <v>35</v>
      </c>
      <c r="G28" s="2" t="s">
        <v>98</v>
      </c>
      <c r="H28" s="2"/>
      <c r="I28" s="2"/>
      <c r="J28" s="2"/>
      <c r="K28" s="2"/>
      <c r="L28" s="2"/>
    </row>
    <row r="29" spans="1:12">
      <c r="A29" s="3" t="str">
        <f t="shared" si="0"/>
        <v>S028-CZ-MK-028</v>
      </c>
      <c r="B29" s="4" t="s">
        <v>99</v>
      </c>
      <c r="C29" s="2"/>
      <c r="D29" s="7" t="s">
        <v>90</v>
      </c>
      <c r="E29" s="11"/>
      <c r="F29" s="2" t="s">
        <v>100</v>
      </c>
      <c r="G29" s="2" t="s">
        <v>101</v>
      </c>
      <c r="H29" s="2"/>
      <c r="I29" s="2"/>
      <c r="J29" s="2"/>
      <c r="K29" s="2"/>
      <c r="L29" s="2"/>
    </row>
    <row r="30" spans="1:12">
      <c r="A30" s="3" t="str">
        <f t="shared" si="0"/>
        <v>S029-CZ-YB-029</v>
      </c>
      <c r="B30" s="4" t="s">
        <v>102</v>
      </c>
      <c r="C30" s="2"/>
      <c r="D30" s="9" t="s">
        <v>90</v>
      </c>
      <c r="E30" s="12"/>
      <c r="F30" s="2" t="s">
        <v>103</v>
      </c>
      <c r="G30" s="2" t="s">
        <v>104</v>
      </c>
      <c r="H30" s="2"/>
      <c r="I30" s="2"/>
      <c r="J30" s="2"/>
      <c r="K30" s="2"/>
      <c r="L30" s="2"/>
    </row>
    <row r="31" spans="1:12">
      <c r="A31" s="3" t="str">
        <f t="shared" si="0"/>
        <v>S030-SC-DL-030</v>
      </c>
      <c r="B31" s="4" t="s">
        <v>105</v>
      </c>
      <c r="C31" s="2"/>
      <c r="D31" s="5" t="s">
        <v>106</v>
      </c>
      <c r="E31" s="10" t="s">
        <v>107</v>
      </c>
      <c r="F31" s="2" t="s">
        <v>81</v>
      </c>
      <c r="G31" s="2" t="s">
        <v>108</v>
      </c>
      <c r="H31" s="2"/>
      <c r="I31" s="2"/>
      <c r="J31" s="2"/>
      <c r="K31" s="2"/>
      <c r="L31" s="2"/>
    </row>
    <row r="32" spans="1:12">
      <c r="A32" s="3" t="str">
        <f t="shared" si="0"/>
        <v>S031-SC-HY-031</v>
      </c>
      <c r="B32" s="4" t="s">
        <v>109</v>
      </c>
      <c r="C32" s="2"/>
      <c r="D32" s="7" t="s">
        <v>106</v>
      </c>
      <c r="E32" s="11"/>
      <c r="F32" s="2" t="s">
        <v>23</v>
      </c>
      <c r="G32" s="2" t="s">
        <v>110</v>
      </c>
      <c r="H32" s="2"/>
      <c r="I32" s="2"/>
      <c r="J32" s="2"/>
      <c r="K32" s="2"/>
      <c r="L32" s="2"/>
    </row>
    <row r="33" spans="1:12">
      <c r="A33" s="3" t="str">
        <f t="shared" si="0"/>
        <v>S032-SC-SY-032</v>
      </c>
      <c r="B33" s="4" t="s">
        <v>111</v>
      </c>
      <c r="C33" s="2"/>
      <c r="D33" s="7" t="s">
        <v>106</v>
      </c>
      <c r="E33" s="11"/>
      <c r="F33" s="2" t="s">
        <v>112</v>
      </c>
      <c r="G33" s="2" t="s">
        <v>113</v>
      </c>
      <c r="H33" s="2"/>
      <c r="I33" s="2"/>
      <c r="J33" s="2"/>
      <c r="K33" s="2"/>
      <c r="L33" s="2"/>
    </row>
    <row r="34" spans="1:12">
      <c r="A34" s="3" t="str">
        <f t="shared" si="0"/>
        <v>S033-SC-BY-033</v>
      </c>
      <c r="B34" s="4" t="s">
        <v>114</v>
      </c>
      <c r="C34" s="2"/>
      <c r="D34" s="7" t="s">
        <v>106</v>
      </c>
      <c r="E34" s="11"/>
      <c r="F34" s="2" t="s">
        <v>115</v>
      </c>
      <c r="G34" s="2" t="s">
        <v>116</v>
      </c>
      <c r="H34" s="2"/>
      <c r="I34" s="2"/>
      <c r="J34" s="2"/>
      <c r="K34" s="2"/>
      <c r="L34" s="2"/>
    </row>
    <row r="35" spans="1:12">
      <c r="A35" s="3" t="str">
        <f t="shared" ref="A35:A66" si="1">B35&amp;"-"&amp;D35&amp;"-"&amp;F35&amp;"-"&amp;TEXT(0+ROW(A34),"000")</f>
        <v>S034-SC-SH-034</v>
      </c>
      <c r="B35" s="4" t="s">
        <v>117</v>
      </c>
      <c r="C35" s="2"/>
      <c r="D35" s="7" t="s">
        <v>106</v>
      </c>
      <c r="E35" s="11"/>
      <c r="F35" s="2" t="s">
        <v>118</v>
      </c>
      <c r="G35" s="2" t="s">
        <v>119</v>
      </c>
      <c r="H35" s="2"/>
      <c r="I35" s="2"/>
      <c r="J35" s="2"/>
      <c r="K35" s="2"/>
      <c r="L35" s="2"/>
    </row>
    <row r="36" spans="1:12">
      <c r="A36" s="3" t="str">
        <f t="shared" si="1"/>
        <v>S035-SC-SZ-035</v>
      </c>
      <c r="B36" s="4" t="s">
        <v>120</v>
      </c>
      <c r="C36" s="2"/>
      <c r="D36" s="7" t="s">
        <v>106</v>
      </c>
      <c r="E36" s="11"/>
      <c r="F36" s="2" t="s">
        <v>121</v>
      </c>
      <c r="G36" s="2" t="s">
        <v>122</v>
      </c>
      <c r="H36" s="2"/>
      <c r="I36" s="2"/>
      <c r="J36" s="2"/>
      <c r="K36" s="2"/>
      <c r="L36" s="2"/>
    </row>
    <row r="37" spans="1:12">
      <c r="A37" s="3" t="str">
        <f t="shared" si="1"/>
        <v>S036-SC-WZ-036</v>
      </c>
      <c r="B37" s="4" t="s">
        <v>123</v>
      </c>
      <c r="C37" s="2"/>
      <c r="D37" s="7" t="s">
        <v>106</v>
      </c>
      <c r="E37" s="11"/>
      <c r="F37" s="2" t="s">
        <v>124</v>
      </c>
      <c r="G37" s="2" t="s">
        <v>125</v>
      </c>
      <c r="H37" s="2"/>
      <c r="I37" s="2"/>
      <c r="J37" s="2"/>
      <c r="K37" s="2"/>
      <c r="L37" s="2"/>
    </row>
    <row r="38" spans="1:12">
      <c r="A38" s="3" t="str">
        <f t="shared" si="1"/>
        <v>S037-SC-GS-037</v>
      </c>
      <c r="B38" s="4" t="s">
        <v>126</v>
      </c>
      <c r="C38" s="2"/>
      <c r="D38" s="7" t="s">
        <v>106</v>
      </c>
      <c r="E38" s="11"/>
      <c r="F38" s="2" t="s">
        <v>127</v>
      </c>
      <c r="G38" s="2" t="s">
        <v>128</v>
      </c>
      <c r="H38" s="2"/>
      <c r="I38" s="2"/>
      <c r="J38" s="2"/>
      <c r="K38" s="2"/>
      <c r="L38" s="2"/>
    </row>
    <row r="39" spans="1:12">
      <c r="A39" s="3" t="str">
        <f t="shared" si="1"/>
        <v>S038-SC-WJ-038</v>
      </c>
      <c r="B39" s="4" t="s">
        <v>129</v>
      </c>
      <c r="C39" s="2"/>
      <c r="D39" s="9" t="s">
        <v>106</v>
      </c>
      <c r="E39" s="12"/>
      <c r="F39" s="2" t="s">
        <v>130</v>
      </c>
      <c r="G39" s="2" t="s">
        <v>131</v>
      </c>
      <c r="H39" s="2"/>
      <c r="I39" s="2"/>
      <c r="J39" s="2"/>
      <c r="K39" s="2"/>
      <c r="L39" s="2"/>
    </row>
    <row r="40" spans="1:12">
      <c r="A40" s="3" t="str">
        <f t="shared" si="1"/>
        <v>S039-WY-LT-039</v>
      </c>
      <c r="B40" s="4" t="s">
        <v>132</v>
      </c>
      <c r="C40" s="2"/>
      <c r="D40" s="5" t="s">
        <v>133</v>
      </c>
      <c r="E40" s="10" t="s">
        <v>134</v>
      </c>
      <c r="F40" s="2" t="s">
        <v>65</v>
      </c>
      <c r="G40" s="2" t="s">
        <v>135</v>
      </c>
      <c r="H40" s="2"/>
      <c r="I40" s="2"/>
      <c r="J40" s="2"/>
      <c r="K40" s="2"/>
      <c r="L40" s="2"/>
    </row>
    <row r="41" spans="1:12">
      <c r="A41" s="3" t="str">
        <f t="shared" si="1"/>
        <v>S040-WY-FT-040</v>
      </c>
      <c r="B41" s="4" t="s">
        <v>136</v>
      </c>
      <c r="C41" s="2"/>
      <c r="D41" s="7" t="s">
        <v>133</v>
      </c>
      <c r="E41" s="11"/>
      <c r="F41" s="2" t="s">
        <v>137</v>
      </c>
      <c r="G41" s="2" t="s">
        <v>138</v>
      </c>
      <c r="H41" s="2"/>
      <c r="I41" s="2"/>
      <c r="J41" s="2"/>
      <c r="K41" s="2"/>
      <c r="L41" s="2"/>
    </row>
    <row r="42" spans="1:12">
      <c r="A42" s="3" t="str">
        <f t="shared" si="1"/>
        <v>S041-WY-BT-041</v>
      </c>
      <c r="B42" s="4" t="s">
        <v>139</v>
      </c>
      <c r="C42" s="2"/>
      <c r="D42" s="7" t="s">
        <v>133</v>
      </c>
      <c r="E42" s="11"/>
      <c r="F42" s="2" t="s">
        <v>140</v>
      </c>
      <c r="G42" s="2" t="s">
        <v>141</v>
      </c>
      <c r="H42" s="2"/>
      <c r="I42" s="2"/>
      <c r="J42" s="2"/>
      <c r="K42" s="2"/>
      <c r="L42" s="2"/>
    </row>
    <row r="43" spans="1:12">
      <c r="A43" s="3" t="str">
        <f t="shared" si="1"/>
        <v>S042-WY-ZN-042</v>
      </c>
      <c r="B43" s="4" t="s">
        <v>142</v>
      </c>
      <c r="C43" s="2"/>
      <c r="D43" s="7" t="s">
        <v>133</v>
      </c>
      <c r="E43" s="11"/>
      <c r="F43" s="2" t="s">
        <v>143</v>
      </c>
      <c r="G43" s="2" t="s">
        <v>144</v>
      </c>
      <c r="H43" s="2"/>
      <c r="I43" s="2"/>
      <c r="J43" s="2"/>
      <c r="K43" s="2"/>
      <c r="L43" s="2"/>
    </row>
    <row r="44" spans="1:12">
      <c r="A44" s="3" t="str">
        <f t="shared" si="1"/>
        <v>S043-WY-ZG-043</v>
      </c>
      <c r="B44" s="4" t="s">
        <v>145</v>
      </c>
      <c r="C44" s="2"/>
      <c r="D44" s="7" t="s">
        <v>133</v>
      </c>
      <c r="E44" s="11"/>
      <c r="F44" s="2" t="s">
        <v>146</v>
      </c>
      <c r="G44" s="2" t="s">
        <v>147</v>
      </c>
      <c r="H44" s="2"/>
      <c r="I44" s="2"/>
      <c r="J44" s="2"/>
      <c r="K44" s="2"/>
      <c r="L44" s="2"/>
    </row>
    <row r="45" spans="1:12">
      <c r="A45" s="3" t="str">
        <f t="shared" si="1"/>
        <v>S044-WY-TS-044</v>
      </c>
      <c r="B45" s="4" t="s">
        <v>148</v>
      </c>
      <c r="C45" s="2"/>
      <c r="D45" s="7" t="s">
        <v>133</v>
      </c>
      <c r="E45" s="11"/>
      <c r="F45" s="2" t="s">
        <v>149</v>
      </c>
      <c r="G45" s="2" t="s">
        <v>150</v>
      </c>
      <c r="H45" s="2"/>
      <c r="I45" s="2"/>
      <c r="J45" s="2"/>
      <c r="K45" s="2"/>
      <c r="L45" s="2"/>
    </row>
    <row r="46" spans="1:12">
      <c r="A46" s="3" t="str">
        <f t="shared" si="1"/>
        <v>S045-WY-TZ-045</v>
      </c>
      <c r="B46" s="4" t="s">
        <v>151</v>
      </c>
      <c r="C46" s="2"/>
      <c r="D46" s="7" t="s">
        <v>133</v>
      </c>
      <c r="E46" s="11"/>
      <c r="F46" s="2" t="s">
        <v>152</v>
      </c>
      <c r="G46" s="2" t="s">
        <v>153</v>
      </c>
      <c r="H46" s="2"/>
      <c r="I46" s="2"/>
      <c r="J46" s="2"/>
      <c r="K46" s="2"/>
      <c r="L46" s="2"/>
    </row>
    <row r="47" spans="1:12">
      <c r="A47" s="3" t="str">
        <f t="shared" si="1"/>
        <v>S046-WY-TX-046</v>
      </c>
      <c r="B47" s="4" t="s">
        <v>154</v>
      </c>
      <c r="C47" s="2"/>
      <c r="D47" s="7" t="s">
        <v>133</v>
      </c>
      <c r="E47" s="11"/>
      <c r="F47" s="2" t="s">
        <v>155</v>
      </c>
      <c r="G47" s="2" t="s">
        <v>156</v>
      </c>
      <c r="H47" s="2"/>
      <c r="I47" s="2"/>
      <c r="J47" s="2"/>
      <c r="K47" s="2"/>
      <c r="L47" s="2"/>
    </row>
    <row r="48" spans="1:12">
      <c r="A48" s="3" t="str">
        <f t="shared" si="1"/>
        <v>S047-WY-YT-047</v>
      </c>
      <c r="B48" s="4" t="s">
        <v>157</v>
      </c>
      <c r="C48" s="2"/>
      <c r="D48" s="7" t="s">
        <v>133</v>
      </c>
      <c r="E48" s="11"/>
      <c r="F48" s="2" t="s">
        <v>158</v>
      </c>
      <c r="G48" s="2" t="s">
        <v>159</v>
      </c>
      <c r="H48" s="2"/>
      <c r="I48" s="2"/>
      <c r="J48" s="2"/>
      <c r="K48" s="2"/>
      <c r="L48" s="2"/>
    </row>
    <row r="49" spans="1:12">
      <c r="A49" s="3" t="str">
        <f t="shared" si="1"/>
        <v>S048-WY-GP-048</v>
      </c>
      <c r="B49" s="4" t="s">
        <v>160</v>
      </c>
      <c r="C49" s="2"/>
      <c r="D49" s="7" t="s">
        <v>133</v>
      </c>
      <c r="E49" s="11"/>
      <c r="F49" s="2" t="s">
        <v>161</v>
      </c>
      <c r="G49" s="2" t="s">
        <v>162</v>
      </c>
      <c r="H49" s="2"/>
      <c r="I49" s="2"/>
      <c r="J49" s="2"/>
      <c r="K49" s="2"/>
      <c r="L49" s="2"/>
    </row>
    <row r="50" spans="1:12">
      <c r="A50" s="3" t="str">
        <f t="shared" si="1"/>
        <v>S049-WY-DC-049</v>
      </c>
      <c r="B50" s="4" t="s">
        <v>163</v>
      </c>
      <c r="C50" s="2"/>
      <c r="D50" s="7" t="s">
        <v>133</v>
      </c>
      <c r="E50" s="11"/>
      <c r="F50" s="2" t="s">
        <v>164</v>
      </c>
      <c r="G50" s="2" t="s">
        <v>165</v>
      </c>
      <c r="H50" s="2"/>
      <c r="I50" s="2"/>
      <c r="J50" s="2"/>
      <c r="K50" s="2"/>
      <c r="L50" s="2"/>
    </row>
    <row r="51" spans="1:12">
      <c r="A51" s="3" t="str">
        <f t="shared" si="1"/>
        <v>S050-WY-SC-050</v>
      </c>
      <c r="B51" s="4" t="s">
        <v>166</v>
      </c>
      <c r="C51" s="2"/>
      <c r="D51" s="7" t="s">
        <v>133</v>
      </c>
      <c r="E51" s="11"/>
      <c r="F51" s="2" t="s">
        <v>106</v>
      </c>
      <c r="G51" s="2" t="s">
        <v>167</v>
      </c>
      <c r="H51" s="2"/>
      <c r="I51" s="2"/>
      <c r="J51" s="2"/>
      <c r="K51" s="2"/>
      <c r="L51" s="2"/>
    </row>
    <row r="52" spans="1:12">
      <c r="A52" s="3" t="str">
        <f t="shared" si="1"/>
        <v>S051-WY-YX-051</v>
      </c>
      <c r="B52" s="4" t="s">
        <v>168</v>
      </c>
      <c r="C52" s="2"/>
      <c r="D52" s="7" t="s">
        <v>133</v>
      </c>
      <c r="E52" s="11"/>
      <c r="F52" s="2" t="s">
        <v>169</v>
      </c>
      <c r="G52" s="2" t="s">
        <v>170</v>
      </c>
      <c r="H52" s="2"/>
      <c r="I52" s="2"/>
      <c r="J52" s="2"/>
      <c r="K52" s="2"/>
      <c r="L52" s="2"/>
    </row>
    <row r="53" spans="1:12">
      <c r="A53" s="3" t="str">
        <f t="shared" si="1"/>
        <v>S052-WY-YS-052</v>
      </c>
      <c r="B53" s="4" t="s">
        <v>171</v>
      </c>
      <c r="C53" s="2"/>
      <c r="D53" s="7" t="s">
        <v>133</v>
      </c>
      <c r="E53" s="11"/>
      <c r="F53" s="2" t="s">
        <v>172</v>
      </c>
      <c r="G53" s="2" t="s">
        <v>173</v>
      </c>
      <c r="H53" s="2"/>
      <c r="I53" s="2"/>
      <c r="J53" s="2"/>
      <c r="K53" s="2"/>
      <c r="L53" s="2"/>
    </row>
    <row r="54" spans="1:12">
      <c r="A54" s="3" t="str">
        <f t="shared" si="1"/>
        <v>S053-WY-TB-053</v>
      </c>
      <c r="B54" s="4" t="s">
        <v>174</v>
      </c>
      <c r="C54" s="2"/>
      <c r="D54" s="7" t="s">
        <v>133</v>
      </c>
      <c r="E54" s="11"/>
      <c r="F54" s="2" t="s">
        <v>175</v>
      </c>
      <c r="G54" s="2" t="s">
        <v>176</v>
      </c>
      <c r="H54" s="2"/>
      <c r="I54" s="2"/>
      <c r="J54" s="2"/>
      <c r="K54" s="2"/>
      <c r="L54" s="2"/>
    </row>
    <row r="55" spans="1:12">
      <c r="A55" s="3" t="str">
        <f t="shared" si="1"/>
        <v>S054-WY-BB-054</v>
      </c>
      <c r="B55" s="4" t="s">
        <v>177</v>
      </c>
      <c r="C55" s="2"/>
      <c r="D55" s="7" t="s">
        <v>133</v>
      </c>
      <c r="E55" s="11"/>
      <c r="F55" s="2" t="s">
        <v>178</v>
      </c>
      <c r="G55" s="2" t="s">
        <v>179</v>
      </c>
      <c r="H55" s="2"/>
      <c r="I55" s="2"/>
      <c r="J55" s="2"/>
      <c r="K55" s="2"/>
      <c r="L55" s="2"/>
    </row>
    <row r="56" spans="1:12">
      <c r="A56" s="3" t="str">
        <f t="shared" si="1"/>
        <v>S055-WY-YG-055</v>
      </c>
      <c r="B56" s="4" t="s">
        <v>180</v>
      </c>
      <c r="C56" s="2"/>
      <c r="D56" s="7" t="s">
        <v>133</v>
      </c>
      <c r="E56" s="11"/>
      <c r="F56" s="2" t="s">
        <v>95</v>
      </c>
      <c r="G56" s="2" t="s">
        <v>181</v>
      </c>
      <c r="H56" s="2"/>
      <c r="I56" s="2"/>
      <c r="J56" s="2"/>
      <c r="K56" s="2"/>
      <c r="L56" s="2"/>
    </row>
    <row r="57" spans="1:12">
      <c r="A57" s="3" t="str">
        <f t="shared" si="1"/>
        <v>S056-WY-AM-056</v>
      </c>
      <c r="B57" s="4" t="s">
        <v>182</v>
      </c>
      <c r="C57" s="2"/>
      <c r="D57" s="9" t="s">
        <v>133</v>
      </c>
      <c r="E57" s="12"/>
      <c r="F57" s="2" t="s">
        <v>183</v>
      </c>
      <c r="G57" s="2" t="s">
        <v>184</v>
      </c>
      <c r="H57" s="2"/>
      <c r="I57" s="2"/>
      <c r="J57" s="2"/>
      <c r="K57" s="2"/>
      <c r="L57" s="2"/>
    </row>
    <row r="58" spans="1:12">
      <c r="A58" s="3" t="str">
        <f t="shared" si="1"/>
        <v>S057-YW-MP-057</v>
      </c>
      <c r="B58" s="4" t="s">
        <v>185</v>
      </c>
      <c r="C58" s="2"/>
      <c r="D58" s="5" t="s">
        <v>186</v>
      </c>
      <c r="E58" s="10" t="s">
        <v>187</v>
      </c>
      <c r="F58" s="2" t="s">
        <v>188</v>
      </c>
      <c r="G58" s="2" t="s">
        <v>189</v>
      </c>
      <c r="H58" s="2"/>
      <c r="I58" s="2"/>
      <c r="J58" s="2"/>
      <c r="K58" s="2"/>
      <c r="L58" s="2"/>
    </row>
    <row r="59" spans="1:12">
      <c r="A59" s="3" t="str">
        <f t="shared" si="1"/>
        <v>S058-YW-CF-058</v>
      </c>
      <c r="B59" s="4" t="s">
        <v>190</v>
      </c>
      <c r="C59" s="2"/>
      <c r="D59" s="5" t="s">
        <v>186</v>
      </c>
      <c r="E59" s="11"/>
      <c r="F59" s="2" t="s">
        <v>191</v>
      </c>
      <c r="G59" s="2" t="s">
        <v>192</v>
      </c>
      <c r="H59" s="2"/>
      <c r="I59" s="2"/>
      <c r="J59" s="2"/>
      <c r="K59" s="2"/>
      <c r="L59" s="2"/>
    </row>
    <row r="60" spans="1:12">
      <c r="A60" s="3" t="str">
        <f t="shared" si="1"/>
        <v>S059-YW-LY-059</v>
      </c>
      <c r="B60" s="4" t="s">
        <v>193</v>
      </c>
      <c r="C60" s="2"/>
      <c r="D60" s="5" t="s">
        <v>186</v>
      </c>
      <c r="E60" s="11"/>
      <c r="F60" s="2" t="s">
        <v>194</v>
      </c>
      <c r="G60" s="2" t="s">
        <v>195</v>
      </c>
      <c r="H60" s="2"/>
      <c r="I60" s="2"/>
      <c r="J60" s="2"/>
      <c r="K60" s="2"/>
      <c r="L60" s="2"/>
    </row>
    <row r="61" spans="1:12">
      <c r="A61" s="3" t="str">
        <f t="shared" si="1"/>
        <v>S060-YW-QT-060</v>
      </c>
      <c r="B61" s="4" t="s">
        <v>196</v>
      </c>
      <c r="C61" s="2"/>
      <c r="D61" s="5" t="s">
        <v>186</v>
      </c>
      <c r="E61" s="11"/>
      <c r="F61" s="2" t="s">
        <v>32</v>
      </c>
      <c r="G61" s="2" t="s">
        <v>197</v>
      </c>
      <c r="H61" s="2"/>
      <c r="I61" s="2"/>
      <c r="J61" s="2"/>
      <c r="K61" s="2"/>
      <c r="L61" s="2"/>
    </row>
    <row r="62" spans="1:12">
      <c r="A62" s="3" t="str">
        <f t="shared" si="1"/>
        <v>S061-YW-MZ-061</v>
      </c>
      <c r="B62" s="4" t="s">
        <v>198</v>
      </c>
      <c r="C62" s="2"/>
      <c r="D62" s="5" t="s">
        <v>186</v>
      </c>
      <c r="E62" s="11"/>
      <c r="F62" s="2" t="s">
        <v>199</v>
      </c>
      <c r="G62" s="2" t="s">
        <v>200</v>
      </c>
      <c r="H62" s="2"/>
      <c r="I62" s="2"/>
      <c r="J62" s="2"/>
      <c r="K62" s="2"/>
      <c r="L62" s="2"/>
    </row>
    <row r="63" spans="1:12">
      <c r="A63" s="3" t="str">
        <f t="shared" si="1"/>
        <v>S062-YW-ZW-062</v>
      </c>
      <c r="B63" s="4" t="s">
        <v>201</v>
      </c>
      <c r="C63" s="2"/>
      <c r="D63" s="5" t="s">
        <v>186</v>
      </c>
      <c r="E63" s="11"/>
      <c r="F63" s="2" t="s">
        <v>202</v>
      </c>
      <c r="G63" s="2" t="s">
        <v>203</v>
      </c>
      <c r="H63" s="2"/>
      <c r="I63" s="2"/>
      <c r="J63" s="2"/>
      <c r="K63" s="2"/>
      <c r="L63" s="2"/>
    </row>
    <row r="64" spans="1:12">
      <c r="A64" s="3" t="str">
        <f t="shared" si="1"/>
        <v>S063-YW-PF-063</v>
      </c>
      <c r="B64" s="4" t="s">
        <v>204</v>
      </c>
      <c r="C64" s="2"/>
      <c r="D64" s="5" t="s">
        <v>186</v>
      </c>
      <c r="E64" s="11"/>
      <c r="F64" s="2" t="s">
        <v>205</v>
      </c>
      <c r="G64" s="2" t="s">
        <v>206</v>
      </c>
      <c r="H64" s="2"/>
      <c r="I64" s="2"/>
      <c r="J64" s="2"/>
      <c r="K64" s="2"/>
      <c r="L64" s="2"/>
    </row>
    <row r="65" spans="1:12">
      <c r="A65" s="3" t="str">
        <f t="shared" si="1"/>
        <v>S064-YW-DS-064</v>
      </c>
      <c r="B65" s="4" t="s">
        <v>207</v>
      </c>
      <c r="C65" s="2"/>
      <c r="D65" s="5" t="s">
        <v>186</v>
      </c>
      <c r="E65" s="11"/>
      <c r="F65" s="2" t="s">
        <v>208</v>
      </c>
      <c r="G65" s="2" t="s">
        <v>209</v>
      </c>
      <c r="H65" s="2"/>
      <c r="I65" s="2"/>
      <c r="J65" s="2"/>
      <c r="K65" s="2"/>
      <c r="L65" s="2"/>
    </row>
    <row r="66" spans="1:12">
      <c r="A66" s="3" t="str">
        <f t="shared" si="1"/>
        <v>S065-YW-YJ-065</v>
      </c>
      <c r="B66" s="4" t="s">
        <v>210</v>
      </c>
      <c r="C66" s="2"/>
      <c r="D66" s="5" t="s">
        <v>186</v>
      </c>
      <c r="E66" s="11"/>
      <c r="F66" s="2" t="s">
        <v>211</v>
      </c>
      <c r="G66" s="2" t="s">
        <v>212</v>
      </c>
      <c r="H66" s="2"/>
      <c r="I66" s="2"/>
      <c r="J66" s="2"/>
      <c r="K66" s="2"/>
      <c r="L66" s="2"/>
    </row>
    <row r="67" spans="1:12">
      <c r="A67" s="3" t="str">
        <f t="shared" ref="A67:A87" si="2">B67&amp;"-"&amp;D67&amp;"-"&amp;F67&amp;"-"&amp;TEXT(0+ROW(A66),"000")</f>
        <v>S066-YW-DZ-066</v>
      </c>
      <c r="B67" s="4" t="s">
        <v>213</v>
      </c>
      <c r="C67" s="2"/>
      <c r="D67" s="5" t="s">
        <v>186</v>
      </c>
      <c r="E67" s="11"/>
      <c r="F67" s="2" t="s">
        <v>214</v>
      </c>
      <c r="G67" s="2" t="s">
        <v>215</v>
      </c>
      <c r="H67" s="2"/>
      <c r="I67" s="2"/>
      <c r="J67" s="2"/>
      <c r="K67" s="2"/>
      <c r="L67" s="2"/>
    </row>
    <row r="68" spans="1:12">
      <c r="A68" s="3" t="str">
        <f t="shared" si="2"/>
        <v>S067-YW-DL-067</v>
      </c>
      <c r="B68" s="4" t="s">
        <v>216</v>
      </c>
      <c r="C68" s="2"/>
      <c r="D68" s="5" t="s">
        <v>186</v>
      </c>
      <c r="E68" s="12"/>
      <c r="F68" s="2" t="s">
        <v>81</v>
      </c>
      <c r="G68" s="2" t="s">
        <v>217</v>
      </c>
      <c r="H68" s="2"/>
      <c r="I68" s="2"/>
      <c r="J68" s="2"/>
      <c r="K68" s="2"/>
      <c r="L68" s="2"/>
    </row>
    <row r="69" spans="1:12">
      <c r="A69" s="3" t="str">
        <f t="shared" si="2"/>
        <v>S068-HM-MM-068</v>
      </c>
      <c r="B69" s="4" t="s">
        <v>218</v>
      </c>
      <c r="C69" s="2"/>
      <c r="D69" s="7" t="s">
        <v>219</v>
      </c>
      <c r="E69" s="11" t="s">
        <v>220</v>
      </c>
      <c r="F69" s="2" t="s">
        <v>221</v>
      </c>
      <c r="G69" s="2" t="s">
        <v>222</v>
      </c>
      <c r="H69" s="2"/>
      <c r="I69" s="2"/>
      <c r="J69" s="2"/>
      <c r="K69" s="2"/>
      <c r="L69" s="2"/>
    </row>
    <row r="70" spans="1:12">
      <c r="A70" s="3" t="str">
        <f t="shared" si="2"/>
        <v>S069-HM-LH-069</v>
      </c>
      <c r="B70" s="4" t="s">
        <v>223</v>
      </c>
      <c r="C70" s="2"/>
      <c r="D70" s="7" t="s">
        <v>219</v>
      </c>
      <c r="E70" s="11"/>
      <c r="F70" s="2" t="s">
        <v>50</v>
      </c>
      <c r="G70" s="2" t="s">
        <v>224</v>
      </c>
      <c r="H70" s="2"/>
      <c r="I70" s="2"/>
      <c r="J70" s="2"/>
      <c r="K70" s="2"/>
      <c r="L70" s="2"/>
    </row>
    <row r="71" spans="1:12">
      <c r="A71" s="3" t="str">
        <f t="shared" si="2"/>
        <v>S070-HM-SM-070</v>
      </c>
      <c r="B71" s="4" t="s">
        <v>225</v>
      </c>
      <c r="C71" s="2"/>
      <c r="D71" s="7" t="s">
        <v>219</v>
      </c>
      <c r="E71" s="11"/>
      <c r="F71" s="2" t="s">
        <v>13</v>
      </c>
      <c r="G71" s="2" t="s">
        <v>226</v>
      </c>
      <c r="H71" s="2"/>
      <c r="I71" s="2"/>
      <c r="J71" s="2"/>
      <c r="K71" s="2"/>
      <c r="L71" s="2"/>
    </row>
    <row r="72" spans="1:12">
      <c r="A72" s="3" t="str">
        <f t="shared" si="2"/>
        <v>S071-HM-HY-071</v>
      </c>
      <c r="B72" s="4" t="s">
        <v>227</v>
      </c>
      <c r="C72" s="2"/>
      <c r="D72" s="7" t="s">
        <v>219</v>
      </c>
      <c r="E72" s="11"/>
      <c r="F72" s="2" t="s">
        <v>23</v>
      </c>
      <c r="G72" s="2" t="s">
        <v>228</v>
      </c>
      <c r="H72" s="2"/>
      <c r="I72" s="2"/>
      <c r="J72" s="2"/>
      <c r="K72" s="2"/>
      <c r="L72" s="2"/>
    </row>
    <row r="73" spans="1:12">
      <c r="A73" s="3" t="str">
        <f t="shared" si="2"/>
        <v>S072-HM-LS-072</v>
      </c>
      <c r="B73" s="4" t="s">
        <v>229</v>
      </c>
      <c r="C73" s="2"/>
      <c r="D73" s="7" t="s">
        <v>219</v>
      </c>
      <c r="E73" s="11"/>
      <c r="F73" s="2" t="s">
        <v>41</v>
      </c>
      <c r="G73" s="2" t="s">
        <v>42</v>
      </c>
      <c r="H73" s="2"/>
      <c r="I73" s="2"/>
      <c r="J73" s="2"/>
      <c r="K73" s="2"/>
      <c r="L73" s="2"/>
    </row>
    <row r="74" spans="1:12">
      <c r="A74" s="3" t="str">
        <f t="shared" si="2"/>
        <v>S073-HM-MP-073</v>
      </c>
      <c r="B74" s="4" t="s">
        <v>230</v>
      </c>
      <c r="C74" s="2"/>
      <c r="D74" s="9" t="s">
        <v>219</v>
      </c>
      <c r="E74" s="12"/>
      <c r="F74" s="2" t="s">
        <v>188</v>
      </c>
      <c r="G74" s="2" t="s">
        <v>231</v>
      </c>
      <c r="H74" s="2"/>
      <c r="I74" s="2"/>
      <c r="J74" s="2"/>
      <c r="K74" s="2"/>
      <c r="L74" s="2"/>
    </row>
    <row r="75" spans="1:12">
      <c r="A75" s="3" t="str">
        <f t="shared" si="2"/>
        <v>S074-DJ-QR-074</v>
      </c>
      <c r="B75" s="4" t="s">
        <v>232</v>
      </c>
      <c r="C75" s="2"/>
      <c r="D75" s="5" t="s">
        <v>233</v>
      </c>
      <c r="E75" s="10" t="s">
        <v>234</v>
      </c>
      <c r="F75" s="2" t="s">
        <v>235</v>
      </c>
      <c r="G75" s="2" t="s">
        <v>236</v>
      </c>
      <c r="H75" s="2"/>
      <c r="I75" s="2"/>
      <c r="J75" s="2"/>
      <c r="K75" s="2"/>
      <c r="L75" s="2"/>
    </row>
    <row r="76" spans="1:12">
      <c r="A76" s="3" t="str">
        <f t="shared" si="2"/>
        <v>S075-DJ-DD-075</v>
      </c>
      <c r="B76" s="4" t="s">
        <v>237</v>
      </c>
      <c r="C76" s="2"/>
      <c r="D76" s="5" t="s">
        <v>233</v>
      </c>
      <c r="E76" s="11"/>
      <c r="F76" s="2" t="s">
        <v>238</v>
      </c>
      <c r="G76" s="2" t="s">
        <v>239</v>
      </c>
      <c r="H76" s="2"/>
      <c r="I76" s="2"/>
      <c r="J76" s="2"/>
      <c r="K76" s="2"/>
      <c r="L76" s="2"/>
    </row>
    <row r="77" spans="1:12">
      <c r="A77" s="3" t="str">
        <f t="shared" si="2"/>
        <v>S076-DJ-BD-076</v>
      </c>
      <c r="B77" s="4" t="s">
        <v>240</v>
      </c>
      <c r="C77" s="2"/>
      <c r="D77" s="5" t="s">
        <v>233</v>
      </c>
      <c r="E77" s="11"/>
      <c r="F77" s="2" t="s">
        <v>241</v>
      </c>
      <c r="G77" s="2" t="s">
        <v>242</v>
      </c>
      <c r="H77" s="2"/>
      <c r="I77" s="2"/>
      <c r="J77" s="2"/>
      <c r="K77" s="2"/>
      <c r="L77" s="2"/>
    </row>
    <row r="78" spans="1:12">
      <c r="A78" s="3" t="str">
        <f t="shared" si="2"/>
        <v>S077-DJ-KG-077</v>
      </c>
      <c r="B78" s="4" t="s">
        <v>243</v>
      </c>
      <c r="C78" s="2"/>
      <c r="D78" s="5" t="s">
        <v>233</v>
      </c>
      <c r="E78" s="11"/>
      <c r="F78" s="2" t="s">
        <v>244</v>
      </c>
      <c r="G78" s="2" t="s">
        <v>245</v>
      </c>
      <c r="H78" s="2"/>
      <c r="I78" s="2"/>
      <c r="J78" s="2"/>
      <c r="K78" s="2"/>
      <c r="L78" s="2"/>
    </row>
    <row r="79" spans="1:12">
      <c r="A79" s="3" t="str">
        <f t="shared" si="2"/>
        <v>S078-DJ-PQ-078</v>
      </c>
      <c r="B79" s="4" t="s">
        <v>246</v>
      </c>
      <c r="C79" s="2"/>
      <c r="D79" s="5" t="s">
        <v>233</v>
      </c>
      <c r="E79" s="12"/>
      <c r="F79" s="2" t="s">
        <v>247</v>
      </c>
      <c r="G79" s="2" t="s">
        <v>248</v>
      </c>
      <c r="H79" s="2"/>
      <c r="I79" s="2"/>
      <c r="J79" s="2"/>
      <c r="K79" s="2"/>
      <c r="L79" s="2"/>
    </row>
    <row r="80" spans="1:12">
      <c r="A80" s="3" t="str">
        <f t="shared" si="2"/>
        <v>S079-DQ-YY-079</v>
      </c>
      <c r="B80" s="4" t="s">
        <v>249</v>
      </c>
      <c r="C80" s="2"/>
      <c r="D80" s="5" t="s">
        <v>250</v>
      </c>
      <c r="E80" s="10" t="s">
        <v>251</v>
      </c>
      <c r="F80" s="2" t="s">
        <v>252</v>
      </c>
      <c r="G80" s="2" t="s">
        <v>253</v>
      </c>
      <c r="H80" s="2"/>
      <c r="I80" s="2"/>
      <c r="J80" s="2"/>
      <c r="K80" s="2"/>
      <c r="L80" s="2"/>
    </row>
    <row r="81" spans="1:12">
      <c r="A81" s="3" t="str">
        <f t="shared" si="2"/>
        <v>S080-DQ-RZ-080</v>
      </c>
      <c r="B81" s="4" t="s">
        <v>254</v>
      </c>
      <c r="C81" s="2"/>
      <c r="D81" s="7" t="s">
        <v>250</v>
      </c>
      <c r="E81" s="11"/>
      <c r="F81" s="2" t="s">
        <v>255</v>
      </c>
      <c r="G81" s="2" t="s">
        <v>256</v>
      </c>
      <c r="H81" s="2"/>
      <c r="I81" s="2"/>
      <c r="J81" s="2"/>
      <c r="K81" s="2"/>
      <c r="L81" s="2"/>
    </row>
    <row r="82" spans="1:12">
      <c r="A82" s="3" t="str">
        <f t="shared" si="2"/>
        <v>S081-DQ-DC-081</v>
      </c>
      <c r="B82" s="4" t="s">
        <v>257</v>
      </c>
      <c r="C82" s="2"/>
      <c r="D82" s="7" t="s">
        <v>250</v>
      </c>
      <c r="E82" s="11"/>
      <c r="F82" s="2" t="s">
        <v>164</v>
      </c>
      <c r="G82" s="2" t="s">
        <v>258</v>
      </c>
      <c r="H82" s="2"/>
      <c r="I82" s="2"/>
      <c r="J82" s="2"/>
      <c r="K82" s="2"/>
      <c r="L82" s="2"/>
    </row>
    <row r="83" spans="1:12">
      <c r="A83" s="3" t="str">
        <f t="shared" si="2"/>
        <v>S082-DQ-XW-082</v>
      </c>
      <c r="B83" s="4" t="s">
        <v>259</v>
      </c>
      <c r="C83" s="2"/>
      <c r="D83" s="7" t="s">
        <v>250</v>
      </c>
      <c r="E83" s="11"/>
      <c r="F83" s="2" t="s">
        <v>260</v>
      </c>
      <c r="G83" s="2" t="s">
        <v>261</v>
      </c>
      <c r="H83" s="2"/>
      <c r="I83" s="2"/>
      <c r="J83" s="2"/>
      <c r="K83" s="2"/>
      <c r="L83" s="2"/>
    </row>
    <row r="84" spans="1:12">
      <c r="A84" s="3" t="str">
        <f t="shared" si="2"/>
        <v>S083-DQ-WB-083</v>
      </c>
      <c r="B84" s="4" t="s">
        <v>262</v>
      </c>
      <c r="C84" s="2"/>
      <c r="D84" s="7" t="s">
        <v>250</v>
      </c>
      <c r="E84" s="11"/>
      <c r="F84" s="2" t="s">
        <v>263</v>
      </c>
      <c r="G84" s="2" t="s">
        <v>264</v>
      </c>
      <c r="H84" s="2"/>
      <c r="I84" s="2"/>
      <c r="J84" s="2"/>
      <c r="K84" s="2"/>
      <c r="L84" s="2"/>
    </row>
    <row r="85" spans="1:12">
      <c r="A85" s="3" t="str">
        <f t="shared" si="2"/>
        <v>S084-DQ-ZK-084</v>
      </c>
      <c r="B85" s="4" t="s">
        <v>265</v>
      </c>
      <c r="C85" s="2"/>
      <c r="D85" s="7" t="s">
        <v>250</v>
      </c>
      <c r="E85" s="11"/>
      <c r="F85" s="2" t="s">
        <v>266</v>
      </c>
      <c r="G85" s="2" t="s">
        <v>267</v>
      </c>
      <c r="H85" s="2"/>
      <c r="I85" s="2"/>
      <c r="J85" s="2"/>
      <c r="K85" s="2"/>
      <c r="L85" s="2"/>
    </row>
    <row r="86" spans="1:12">
      <c r="A86" s="3" t="str">
        <f t="shared" si="2"/>
        <v>S085-DQ-RS-085</v>
      </c>
      <c r="B86" s="4" t="s">
        <v>268</v>
      </c>
      <c r="C86" s="2"/>
      <c r="D86" s="7" t="s">
        <v>250</v>
      </c>
      <c r="E86" s="11"/>
      <c r="F86" s="2" t="s">
        <v>269</v>
      </c>
      <c r="G86" s="2" t="s">
        <v>270</v>
      </c>
      <c r="H86" s="2"/>
      <c r="I86" s="2"/>
      <c r="J86" s="2"/>
      <c r="K86" s="2"/>
      <c r="L86" s="2"/>
    </row>
    <row r="87" spans="1:12">
      <c r="A87" s="3" t="str">
        <f t="shared" si="2"/>
        <v>S086-DQ-KT-086</v>
      </c>
      <c r="B87" s="4" t="s">
        <v>271</v>
      </c>
      <c r="C87" s="2"/>
      <c r="D87" s="9" t="s">
        <v>250</v>
      </c>
      <c r="E87" s="12"/>
      <c r="F87" s="2" t="s">
        <v>272</v>
      </c>
      <c r="G87" s="2" t="s">
        <v>273</v>
      </c>
      <c r="H87" s="2"/>
      <c r="I87" s="2"/>
      <c r="J87" s="2"/>
      <c r="K87" s="2"/>
      <c r="L87" s="2"/>
    </row>
  </sheetData>
  <mergeCells count="10">
    <mergeCell ref="E2:E13"/>
    <mergeCell ref="E14:E20"/>
    <mergeCell ref="E21:E25"/>
    <mergeCell ref="E26:E30"/>
    <mergeCell ref="E31:E39"/>
    <mergeCell ref="E40:E57"/>
    <mergeCell ref="E58:E68"/>
    <mergeCell ref="E69:E74"/>
    <mergeCell ref="E75:E79"/>
    <mergeCell ref="E80:E87"/>
  </mergeCells>
  <pageMargins left="0.75" right="0.75" top="1" bottom="1" header="0.5" footer="0.5"/>
  <pageSetup paperSize="8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广州宇辰材料库编码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陈瀚</cp:lastModifiedBy>
  <dcterms:created xsi:type="dcterms:W3CDTF">2026-04-09T03:42:00Z</dcterms:created>
  <dcterms:modified xsi:type="dcterms:W3CDTF">2026-06-09T14:51:00Z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C3BC72283D62404DA788F81D4CD428FA_13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